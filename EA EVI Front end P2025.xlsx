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inacapcl-my.sharepoint.com/personal/rvalencia_inacap_cl/Documents/Documentos/front 2025/Unidad I/evaluacion I/"/>
    </mc:Choice>
  </mc:AlternateContent>
  <xr:revisionPtr revIDLastSave="0" documentId="8_{7E80D2E0-B21E-4C32-A3B1-D90181FAA5B6}" xr6:coauthVersionLast="47" xr6:coauthVersionMax="47" xr10:uidLastSave="{00000000-0000-0000-0000-000000000000}"/>
  <bookViews>
    <workbookView xWindow="-120" yWindow="-120" windowWidth="29040" windowHeight="15720" xr2:uid="{00000000-000D-0000-FFFF-FFFF00000000}"/>
  </bookViews>
  <sheets>
    <sheet name="Escala apreciacion" sheetId="11" r:id="rId1"/>
    <sheet name="Escala de notas"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2" i="4" l="1"/>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H31" i="11"/>
  <c r="I10" i="11"/>
  <c r="I11" i="11"/>
  <c r="I12" i="11"/>
  <c r="I13" i="11"/>
  <c r="I14" i="11"/>
  <c r="I15" i="11"/>
  <c r="I16" i="11"/>
  <c r="I17" i="11"/>
  <c r="I18" i="11"/>
  <c r="I19" i="11"/>
  <c r="I20" i="11"/>
  <c r="I21" i="11"/>
  <c r="I22" i="11"/>
  <c r="I23" i="11"/>
  <c r="I24" i="11"/>
  <c r="I25" i="11"/>
  <c r="I26" i="11"/>
  <c r="I9" i="11"/>
  <c r="I27" i="11" l="1"/>
  <c r="G27" i="11"/>
</calcChain>
</file>

<file path=xl/sharedStrings.xml><?xml version="1.0" encoding="utf-8"?>
<sst xmlns="http://schemas.openxmlformats.org/spreadsheetml/2006/main" count="91" uniqueCount="39">
  <si>
    <t>Número de Indicadores:</t>
  </si>
  <si>
    <t>Criterios de Evaluación</t>
  </si>
  <si>
    <t>Indicadores</t>
  </si>
  <si>
    <t>Ponderación</t>
  </si>
  <si>
    <t>Observaciones</t>
  </si>
  <si>
    <t>Puntaje Obtenido</t>
  </si>
  <si>
    <t>Puntaje Ponderado</t>
  </si>
  <si>
    <t>Puntaje Total</t>
  </si>
  <si>
    <t>Ponderación Total</t>
  </si>
  <si>
    <t>Seleccionar</t>
  </si>
  <si>
    <t>Escala de Valoración</t>
  </si>
  <si>
    <t>Nota</t>
  </si>
  <si>
    <t>Puntaje</t>
  </si>
  <si>
    <t>Docente/s: Ruben Valencia Arancibia</t>
  </si>
  <si>
    <t>Asignatura: Programacion front-end</t>
  </si>
  <si>
    <t xml:space="preserve">Estudiante/s: </t>
  </si>
  <si>
    <t>No logrado
(1)</t>
  </si>
  <si>
    <t>Escala de Apreciación N° 1: Desarrollo de sitio web estático utilizando HTML5 y CSS3</t>
  </si>
  <si>
    <t>1.1.1 Identifica los elementos de HTML, en base a un template. 
1.1.2 Construye una estructura HTML, basado en un diseño preestablecido. 
1.1.3 Aplica las propiedades de CSS3, de acuerdo con un diseño preestablecido. 
1.1.4 Utiliza herramientas de control de versiones de repositorios en la nube, de acuerdo con las políticas de respaldo.</t>
  </si>
  <si>
    <t>En Proceso 
(4)</t>
  </si>
  <si>
    <t>Logrado
(6)</t>
  </si>
  <si>
    <r>
      <t>Configura el background del &lt;</t>
    </r>
    <r>
      <rPr>
        <b/>
        <sz val="11"/>
        <color theme="1"/>
        <rFont val="Calibri"/>
        <family val="2"/>
        <scheme val="minor"/>
      </rPr>
      <t>body</t>
    </r>
    <r>
      <rPr>
        <sz val="11"/>
        <color theme="1"/>
        <rFont val="Calibri"/>
        <family val="2"/>
        <scheme val="minor"/>
      </rPr>
      <t>&gt; según prototipo</t>
    </r>
  </si>
  <si>
    <r>
      <t xml:space="preserve">Crea repositorio remoto en </t>
    </r>
    <r>
      <rPr>
        <b/>
        <sz val="11"/>
        <color theme="1"/>
        <rFont val="Calibri"/>
        <family val="2"/>
        <scheme val="minor"/>
      </rPr>
      <t>GitHub</t>
    </r>
    <r>
      <rPr>
        <sz val="11"/>
        <color theme="1"/>
        <rFont val="Calibri"/>
        <family val="2"/>
        <scheme val="minor"/>
      </rPr>
      <t xml:space="preserve"> y realiza el primer </t>
    </r>
    <r>
      <rPr>
        <b/>
        <sz val="11"/>
        <color theme="1"/>
        <rFont val="Calibri"/>
        <family val="2"/>
        <scheme val="minor"/>
      </rPr>
      <t>commit</t>
    </r>
  </si>
  <si>
    <r>
      <t xml:space="preserve">Estructura el </t>
    </r>
    <r>
      <rPr>
        <b/>
        <sz val="11"/>
        <color theme="1"/>
        <rFont val="Calibri"/>
        <family val="2"/>
        <scheme val="minor"/>
      </rPr>
      <t>Header</t>
    </r>
    <r>
      <rPr>
        <sz val="11"/>
        <color theme="1"/>
        <rFont val="Calibri"/>
        <family val="2"/>
        <scheme val="minor"/>
      </rPr>
      <t xml:space="preserve"> con Flexbox para alinear elementos en una fila</t>
    </r>
  </si>
  <si>
    <t>Aplica colores y tamaños del Header según prototipo</t>
  </si>
  <si>
    <r>
      <t>Distribuye 4 tarjetas por fila en “</t>
    </r>
    <r>
      <rPr>
        <b/>
        <sz val="11"/>
        <color theme="1"/>
        <rFont val="Calibri"/>
        <family val="2"/>
        <scheme val="minor"/>
      </rPr>
      <t>Productos</t>
    </r>
    <r>
      <rPr>
        <sz val="11"/>
        <color theme="1"/>
        <rFont val="Calibri"/>
        <family val="2"/>
        <scheme val="minor"/>
      </rPr>
      <t>”</t>
    </r>
  </si>
  <si>
    <r>
      <t>Diseña la card de “</t>
    </r>
    <r>
      <rPr>
        <b/>
        <sz val="11"/>
        <color theme="1"/>
        <rFont val="Calibri"/>
        <family val="2"/>
        <scheme val="minor"/>
      </rPr>
      <t>Productos</t>
    </r>
    <r>
      <rPr>
        <sz val="11"/>
        <color theme="1"/>
        <rFont val="Calibri"/>
        <family val="2"/>
        <scheme val="minor"/>
      </rPr>
      <t>” con imagen y contenido</t>
    </r>
  </si>
  <si>
    <r>
      <t>Lista “</t>
    </r>
    <r>
      <rPr>
        <b/>
        <sz val="11"/>
        <color theme="1"/>
        <rFont val="Calibri"/>
        <family val="2"/>
        <scheme val="minor"/>
      </rPr>
      <t>Mangas</t>
    </r>
    <r>
      <rPr>
        <sz val="11"/>
        <color theme="1"/>
        <rFont val="Calibri"/>
        <family val="2"/>
        <scheme val="minor"/>
      </rPr>
      <t xml:space="preserve"> </t>
    </r>
    <r>
      <rPr>
        <b/>
        <sz val="11"/>
        <color theme="1"/>
        <rFont val="Calibri"/>
        <family val="2"/>
        <scheme val="minor"/>
      </rPr>
      <t>más</t>
    </r>
    <r>
      <rPr>
        <sz val="11"/>
        <color theme="1"/>
        <rFont val="Calibri"/>
        <family val="2"/>
        <scheme val="minor"/>
      </rPr>
      <t xml:space="preserve"> </t>
    </r>
    <r>
      <rPr>
        <b/>
        <sz val="11"/>
        <color theme="1"/>
        <rFont val="Calibri"/>
        <family val="2"/>
        <scheme val="minor"/>
      </rPr>
      <t>vendidos</t>
    </r>
    <r>
      <rPr>
        <sz val="11"/>
        <color theme="1"/>
        <rFont val="Calibri"/>
        <family val="2"/>
        <scheme val="minor"/>
      </rPr>
      <t>” con miniaturas e información según prototipo</t>
    </r>
  </si>
  <si>
    <r>
      <t>Alinea “</t>
    </r>
    <r>
      <rPr>
        <b/>
        <sz val="11"/>
        <color theme="1"/>
        <rFont val="Calibri"/>
        <family val="2"/>
        <scheme val="minor"/>
      </rPr>
      <t>Nuestros</t>
    </r>
    <r>
      <rPr>
        <sz val="11"/>
        <color theme="1"/>
        <rFont val="Calibri"/>
        <family val="2"/>
        <scheme val="minor"/>
      </rPr>
      <t xml:space="preserve"> </t>
    </r>
    <r>
      <rPr>
        <b/>
        <sz val="11"/>
        <color theme="1"/>
        <rFont val="Calibri"/>
        <family val="2"/>
        <scheme val="minor"/>
      </rPr>
      <t>productos</t>
    </r>
    <r>
      <rPr>
        <sz val="11"/>
        <color theme="1"/>
        <rFont val="Calibri"/>
        <family val="2"/>
        <scheme val="minor"/>
      </rPr>
      <t>” y “</t>
    </r>
    <r>
      <rPr>
        <b/>
        <sz val="11"/>
        <color theme="1"/>
        <rFont val="Calibri"/>
        <family val="2"/>
        <scheme val="minor"/>
      </rPr>
      <t>Mangas</t>
    </r>
    <r>
      <rPr>
        <sz val="11"/>
        <color theme="1"/>
        <rFont val="Calibri"/>
        <family val="2"/>
        <scheme val="minor"/>
      </rPr>
      <t xml:space="preserve"> </t>
    </r>
    <r>
      <rPr>
        <b/>
        <sz val="11"/>
        <color theme="1"/>
        <rFont val="Calibri"/>
        <family val="2"/>
        <scheme val="minor"/>
      </rPr>
      <t>más</t>
    </r>
    <r>
      <rPr>
        <sz val="11"/>
        <color theme="1"/>
        <rFont val="Calibri"/>
        <family val="2"/>
        <scheme val="minor"/>
      </rPr>
      <t xml:space="preserve"> </t>
    </r>
    <r>
      <rPr>
        <b/>
        <sz val="11"/>
        <color theme="1"/>
        <rFont val="Calibri"/>
        <family val="2"/>
        <scheme val="minor"/>
      </rPr>
      <t>vendidos</t>
    </r>
    <r>
      <rPr>
        <sz val="11"/>
        <color theme="1"/>
        <rFont val="Calibri"/>
        <family val="2"/>
        <scheme val="minor"/>
      </rPr>
      <t>” en dos columnas</t>
    </r>
  </si>
  <si>
    <r>
      <t xml:space="preserve">Maqueta el </t>
    </r>
    <r>
      <rPr>
        <b/>
        <sz val="11"/>
        <color theme="1"/>
        <rFont val="Calibri"/>
        <family val="2"/>
        <scheme val="minor"/>
      </rPr>
      <t>Footer</t>
    </r>
    <r>
      <rPr>
        <sz val="11"/>
        <color theme="1"/>
        <rFont val="Calibri"/>
        <family val="2"/>
        <scheme val="minor"/>
      </rPr>
      <t xml:space="preserve"> con cuatro columnas y barra inferior</t>
    </r>
  </si>
  <si>
    <r>
      <t xml:space="preserve">Define tamaños y colores del </t>
    </r>
    <r>
      <rPr>
        <b/>
        <sz val="11"/>
        <color theme="1"/>
        <rFont val="Calibri"/>
        <family val="2"/>
        <scheme val="minor"/>
      </rPr>
      <t>Footer</t>
    </r>
  </si>
  <si>
    <r>
      <t xml:space="preserve">Crea la rama </t>
    </r>
    <r>
      <rPr>
        <b/>
        <sz val="11"/>
        <color theme="1"/>
        <rFont val="Calibri"/>
        <family val="2"/>
        <scheme val="minor"/>
      </rPr>
      <t>feat</t>
    </r>
    <r>
      <rPr>
        <sz val="11"/>
        <color theme="1"/>
        <rFont val="Calibri"/>
        <family val="2"/>
        <scheme val="minor"/>
      </rPr>
      <t xml:space="preserve"> y sube avances</t>
    </r>
  </si>
  <si>
    <t>Ajusta contenedores y centrado global</t>
  </si>
  <si>
    <r>
      <t>Centra el texto de “</t>
    </r>
    <r>
      <rPr>
        <b/>
        <sz val="11"/>
        <color theme="1"/>
        <rFont val="Calibri"/>
        <family val="2"/>
        <scheme val="minor"/>
      </rPr>
      <t>Sobre</t>
    </r>
    <r>
      <rPr>
        <sz val="11"/>
        <color theme="1"/>
        <rFont val="Calibri"/>
        <family val="2"/>
        <scheme val="minor"/>
      </rPr>
      <t xml:space="preserve"> </t>
    </r>
    <r>
      <rPr>
        <b/>
        <sz val="11"/>
        <color theme="1"/>
        <rFont val="Calibri"/>
        <family val="2"/>
        <scheme val="minor"/>
      </rPr>
      <t>nosotros</t>
    </r>
    <r>
      <rPr>
        <sz val="11"/>
        <color theme="1"/>
        <rFont val="Calibri"/>
        <family val="2"/>
        <scheme val="minor"/>
      </rPr>
      <t>” y ajusta su tamaño</t>
    </r>
  </si>
  <si>
    <r>
      <t>Define tamaños y estilo de inputs en “</t>
    </r>
    <r>
      <rPr>
        <b/>
        <sz val="11"/>
        <color theme="1"/>
        <rFont val="Calibri"/>
        <family val="2"/>
        <scheme val="minor"/>
      </rPr>
      <t>Contacto</t>
    </r>
    <r>
      <rPr>
        <sz val="11"/>
        <color theme="1"/>
        <rFont val="Calibri"/>
        <family val="2"/>
        <scheme val="minor"/>
      </rPr>
      <t>”</t>
    </r>
  </si>
  <si>
    <r>
      <t>Estructura tamaños de contenedores en “</t>
    </r>
    <r>
      <rPr>
        <b/>
        <sz val="11"/>
        <color theme="1"/>
        <rFont val="Calibri"/>
        <family val="2"/>
        <scheme val="minor"/>
      </rPr>
      <t>Blog</t>
    </r>
    <r>
      <rPr>
        <sz val="11"/>
        <color theme="1"/>
        <rFont val="Calibri"/>
        <family val="2"/>
        <scheme val="minor"/>
      </rPr>
      <t>” para imagen y texto según prototipo</t>
    </r>
  </si>
  <si>
    <r>
      <t>Aplica colores del “</t>
    </r>
    <r>
      <rPr>
        <b/>
        <sz val="11"/>
        <color theme="1"/>
        <rFont val="Calibri"/>
        <family val="2"/>
        <scheme val="minor"/>
      </rPr>
      <t>Blog</t>
    </r>
    <r>
      <rPr>
        <sz val="11"/>
        <color theme="1"/>
        <rFont val="Calibri"/>
        <family val="2"/>
        <scheme val="minor"/>
      </rPr>
      <t>” según prototipo en fondo y texto</t>
    </r>
  </si>
  <si>
    <r>
      <t xml:space="preserve">Crea la rama </t>
    </r>
    <r>
      <rPr>
        <b/>
        <sz val="11"/>
        <color theme="1"/>
        <rFont val="Calibri"/>
        <family val="2"/>
        <scheme val="minor"/>
      </rPr>
      <t>dev</t>
    </r>
    <r>
      <rPr>
        <sz val="11"/>
        <color theme="1"/>
        <rFont val="Calibri"/>
        <family val="2"/>
        <scheme val="minor"/>
      </rPr>
      <t xml:space="preserve"> y sube avances de la parte no presencial</t>
    </r>
  </si>
  <si>
    <t>Estructura de codigo limpia sin errores semanticos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</si>
</sst>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1"/>
      <color theme="1"/>
      <name val="Calibri"/>
      <family val="2"/>
      <scheme val="minor"/>
    </font>
    <font>
      <b/>
      <sz val="11"/>
      <color rgb="FF3F3F3F"/>
      <name val="Calibri"/>
      <family val="2"/>
      <scheme val="minor"/>
    </font>
    <font>
      <sz val="11"/>
      <color theme="0"/>
      <name val="Calibri"/>
      <family val="2"/>
      <scheme val="minor"/>
    </font>
    <font>
      <sz val="10"/>
      <name val="Open Sans"/>
      <family val="2"/>
    </font>
    <font>
      <sz val="10"/>
      <color theme="1"/>
      <name val="Open Sans"/>
      <family val="2"/>
    </font>
    <font>
      <b/>
      <sz val="10"/>
      <name val="Open Sans"/>
      <family val="2"/>
    </font>
    <font>
      <b/>
      <sz val="10"/>
      <color theme="0"/>
      <name val="Open Sans"/>
      <family val="2"/>
    </font>
    <font>
      <b/>
      <sz val="10"/>
      <color theme="1"/>
      <name val="Open Sans"/>
      <family val="2"/>
    </font>
    <font>
      <b/>
      <sz val="12"/>
      <color theme="1" tint="0.249977111117893"/>
      <name val="Open Sans"/>
      <family val="2"/>
    </font>
    <font>
      <sz val="11"/>
      <color rgb="FF595959"/>
      <name val="Calibri"/>
      <family val="2"/>
      <scheme val="minor"/>
    </font>
    <font>
      <b/>
      <sz val="11"/>
      <color theme="1"/>
      <name val="Calibri"/>
      <family val="2"/>
      <scheme val="minor"/>
    </font>
  </fonts>
  <fills count="7">
    <fill>
      <patternFill patternType="none"/>
    </fill>
    <fill>
      <patternFill patternType="gray125"/>
    </fill>
    <fill>
      <patternFill patternType="solid">
        <fgColor rgb="FFF2F2F2"/>
      </patternFill>
    </fill>
    <fill>
      <patternFill patternType="solid">
        <fgColor theme="5"/>
      </patternFill>
    </fill>
    <fill>
      <patternFill patternType="solid">
        <fgColor theme="5" tint="0.59999389629810485"/>
        <bgColor indexed="65"/>
      </patternFill>
    </fill>
    <fill>
      <patternFill patternType="solid">
        <fgColor theme="0"/>
        <bgColor indexed="64"/>
      </patternFill>
    </fill>
    <fill>
      <patternFill patternType="solid">
        <fgColor rgb="FFFF0000"/>
        <bgColor indexed="64"/>
      </patternFill>
    </fill>
  </fills>
  <borders count="12">
    <border>
      <left/>
      <right/>
      <top/>
      <bottom/>
      <diagonal/>
    </border>
    <border>
      <left style="thin">
        <color rgb="FF3F3F3F"/>
      </left>
      <right style="thin">
        <color rgb="FF3F3F3F"/>
      </right>
      <top style="thin">
        <color rgb="FF3F3F3F"/>
      </top>
      <bottom style="thin">
        <color rgb="FF3F3F3F"/>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rgb="FFFF0000"/>
      </left>
      <right style="thin">
        <color rgb="FFFF0000"/>
      </right>
      <top style="thin">
        <color rgb="FFFF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FF0000"/>
      </left>
      <right/>
      <top style="thin">
        <color rgb="FFFF0000"/>
      </top>
      <bottom style="thin">
        <color indexed="64"/>
      </bottom>
      <diagonal/>
    </border>
    <border>
      <left/>
      <right/>
      <top style="thin">
        <color rgb="FFFF0000"/>
      </top>
      <bottom style="thin">
        <color indexed="64"/>
      </bottom>
      <diagonal/>
    </border>
    <border>
      <left/>
      <right style="thin">
        <color rgb="FFFF0000"/>
      </right>
      <top style="thin">
        <color rgb="FFFF0000"/>
      </top>
      <bottom style="thin">
        <color indexed="64"/>
      </bottom>
      <diagonal/>
    </border>
  </borders>
  <cellStyleXfs count="4">
    <xf numFmtId="0" fontId="0" fillId="0" borderId="0"/>
    <xf numFmtId="0" fontId="2" fillId="2" borderId="1" applyNumberFormat="0" applyAlignment="0" applyProtection="0"/>
    <xf numFmtId="0" fontId="3" fillId="3" borderId="0" applyNumberFormat="0" applyBorder="0" applyAlignment="0" applyProtection="0"/>
    <xf numFmtId="0" fontId="1" fillId="4" borderId="0" applyNumberFormat="0" applyBorder="0" applyAlignment="0" applyProtection="0"/>
  </cellStyleXfs>
  <cellXfs count="34">
    <xf numFmtId="0" fontId="0" fillId="0" borderId="0" xfId="0"/>
    <xf numFmtId="0" fontId="5" fillId="0" borderId="0" xfId="0" applyFont="1"/>
    <xf numFmtId="0" fontId="5" fillId="0" borderId="0" xfId="0" applyFont="1" applyProtection="1">
      <protection locked="0"/>
    </xf>
    <xf numFmtId="0" fontId="5" fillId="0" borderId="0" xfId="0" applyFont="1" applyAlignment="1" applyProtection="1">
      <alignment horizontal="center"/>
      <protection locked="0"/>
    </xf>
    <xf numFmtId="0" fontId="5" fillId="5" borderId="0" xfId="0" applyFont="1" applyFill="1" applyProtection="1">
      <protection locked="0"/>
    </xf>
    <xf numFmtId="0" fontId="5" fillId="5" borderId="0" xfId="3" applyFont="1" applyFill="1" applyBorder="1" applyAlignment="1" applyProtection="1">
      <alignment horizontal="right"/>
      <protection locked="0"/>
    </xf>
    <xf numFmtId="0" fontId="5" fillId="5" borderId="0" xfId="3" applyFont="1" applyFill="1" applyBorder="1" applyAlignment="1" applyProtection="1">
      <alignment horizontal="left"/>
      <protection locked="0"/>
    </xf>
    <xf numFmtId="0" fontId="5" fillId="5" borderId="0" xfId="3" applyFont="1" applyFill="1" applyBorder="1" applyAlignment="1" applyProtection="1">
      <alignment horizontal="center"/>
      <protection locked="0"/>
    </xf>
    <xf numFmtId="0" fontId="7" fillId="6" borderId="5" xfId="3" applyFont="1" applyFill="1" applyBorder="1" applyAlignment="1" applyProtection="1">
      <alignment horizontal="center" vertical="center" wrapText="1"/>
      <protection locked="0"/>
    </xf>
    <xf numFmtId="0" fontId="7" fillId="6" borderId="5" xfId="3" applyFont="1" applyFill="1" applyBorder="1" applyAlignment="1" applyProtection="1">
      <alignment horizontal="center" vertical="center"/>
      <protection locked="0"/>
    </xf>
    <xf numFmtId="0" fontId="5" fillId="0" borderId="0" xfId="0" applyFont="1" applyAlignment="1">
      <alignment vertical="center"/>
    </xf>
    <xf numFmtId="0" fontId="5" fillId="0" borderId="6" xfId="0" applyFont="1" applyBorder="1" applyAlignment="1">
      <alignment horizontal="center" vertical="center"/>
    </xf>
    <xf numFmtId="164" fontId="5" fillId="0" borderId="6" xfId="0" applyNumberFormat="1" applyFont="1" applyBorder="1" applyAlignment="1">
      <alignment horizontal="center" vertical="center"/>
    </xf>
    <xf numFmtId="0" fontId="7" fillId="6" borderId="0" xfId="1" applyFont="1" applyFill="1" applyBorder="1" applyAlignment="1" applyProtection="1">
      <alignment horizontal="center" vertical="center" wrapText="1"/>
      <protection locked="0"/>
    </xf>
    <xf numFmtId="0" fontId="7" fillId="6" borderId="0" xfId="0" applyFont="1" applyFill="1" applyAlignment="1">
      <alignment horizontal="center" vertical="center"/>
    </xf>
    <xf numFmtId="0" fontId="8" fillId="0" borderId="7" xfId="0" applyFont="1" applyBorder="1" applyAlignment="1">
      <alignment horizontal="center" vertical="center"/>
    </xf>
    <xf numFmtId="1" fontId="8" fillId="0" borderId="8" xfId="0" applyNumberFormat="1" applyFont="1" applyBorder="1" applyAlignment="1">
      <alignment horizontal="center" vertical="center"/>
    </xf>
    <xf numFmtId="0" fontId="0" fillId="0" borderId="6" xfId="0" applyBorder="1" applyAlignment="1">
      <alignment vertical="center" wrapText="1"/>
    </xf>
    <xf numFmtId="1" fontId="5" fillId="0" borderId="0" xfId="0" applyNumberFormat="1" applyFont="1"/>
    <xf numFmtId="0" fontId="10" fillId="0" borderId="6" xfId="0" applyFont="1" applyBorder="1" applyAlignment="1">
      <alignment horizontal="justify" vertical="center"/>
    </xf>
    <xf numFmtId="0" fontId="4" fillId="0" borderId="6" xfId="1" applyFont="1" applyFill="1" applyBorder="1" applyAlignment="1" applyProtection="1">
      <alignment horizontal="center" vertical="center" wrapText="1"/>
      <protection locked="0"/>
    </xf>
    <xf numFmtId="1" fontId="0" fillId="0" borderId="0" xfId="0" applyNumberFormat="1"/>
    <xf numFmtId="1" fontId="4" fillId="0" borderId="0" xfId="0" applyNumberFormat="1" applyFont="1" applyAlignment="1" applyProtection="1">
      <alignment horizontal="left" vertical="center"/>
      <protection locked="0"/>
    </xf>
    <xf numFmtId="0" fontId="4" fillId="0" borderId="0" xfId="0" applyFont="1" applyAlignment="1" applyProtection="1">
      <alignment horizontal="left" vertical="center"/>
      <protection locked="0"/>
    </xf>
    <xf numFmtId="0" fontId="9" fillId="0" borderId="2" xfId="2" applyFont="1" applyFill="1" applyBorder="1" applyAlignment="1" applyProtection="1">
      <alignment horizontal="center" vertical="center"/>
      <protection locked="0"/>
    </xf>
    <xf numFmtId="0" fontId="9" fillId="0" borderId="3" xfId="2" applyFont="1" applyFill="1" applyBorder="1" applyAlignment="1" applyProtection="1">
      <alignment horizontal="center" vertical="center"/>
      <protection locked="0"/>
    </xf>
    <xf numFmtId="0" fontId="9" fillId="0" borderId="4" xfId="2" applyFont="1" applyFill="1" applyBorder="1" applyAlignment="1" applyProtection="1">
      <alignment horizontal="center" vertical="center"/>
      <protection locked="0"/>
    </xf>
    <xf numFmtId="0" fontId="7" fillId="6" borderId="9" xfId="3" applyFont="1" applyFill="1" applyBorder="1" applyAlignment="1" applyProtection="1">
      <alignment horizontal="center" vertical="center" wrapText="1"/>
      <protection locked="0"/>
    </xf>
    <xf numFmtId="0" fontId="7" fillId="6" borderId="10" xfId="3" applyFont="1" applyFill="1" applyBorder="1" applyAlignment="1" applyProtection="1">
      <alignment horizontal="center" vertical="center" wrapText="1"/>
      <protection locked="0"/>
    </xf>
    <xf numFmtId="0" fontId="7" fillId="6" borderId="11" xfId="3" applyFont="1" applyFill="1" applyBorder="1" applyAlignment="1" applyProtection="1">
      <alignment horizontal="center" vertical="center" wrapText="1"/>
      <protection locked="0"/>
    </xf>
    <xf numFmtId="0" fontId="5" fillId="0" borderId="0" xfId="0" applyFont="1" applyAlignment="1" applyProtection="1">
      <alignment horizontal="center"/>
      <protection locked="0"/>
    </xf>
    <xf numFmtId="0" fontId="6" fillId="0" borderId="0" xfId="0" applyFont="1" applyAlignment="1" applyProtection="1">
      <alignment horizontal="left" vertical="center"/>
      <protection locked="0"/>
    </xf>
    <xf numFmtId="0" fontId="4" fillId="0" borderId="0" xfId="0" applyFont="1" applyAlignment="1" applyProtection="1">
      <alignment horizontal="center" vertical="center"/>
      <protection locked="0"/>
    </xf>
    <xf numFmtId="0" fontId="5" fillId="0" borderId="6" xfId="0" applyFont="1" applyBorder="1" applyAlignment="1">
      <alignment horizontal="center" vertical="center" wrapText="1"/>
    </xf>
  </cellXfs>
  <cellStyles count="4">
    <cellStyle name="40% - Énfasis2" xfId="3" builtinId="35"/>
    <cellStyle name="Énfasis2" xfId="2" builtinId="33"/>
    <cellStyle name="Normal" xfId="0" builtinId="0"/>
    <cellStyle name="Salida"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1152380</xdr:colOff>
      <xdr:row>0</xdr:row>
      <xdr:rowOff>281132</xdr:rowOff>
    </xdr:from>
    <xdr:to>
      <xdr:col>9</xdr:col>
      <xdr:colOff>4378180</xdr:colOff>
      <xdr:row>0</xdr:row>
      <xdr:rowOff>740872</xdr:rowOff>
    </xdr:to>
    <xdr:pic>
      <xdr:nvPicPr>
        <xdr:cNvPr id="2" name="0 Imagen" descr="image003">
          <a:extLst>
            <a:ext uri="{FF2B5EF4-FFF2-40B4-BE49-F238E27FC236}">
              <a16:creationId xmlns:a16="http://schemas.microsoft.com/office/drawing/2014/main" id="{79E34CDC-9584-45EA-A66C-40F22CA8C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49330" y="281132"/>
          <a:ext cx="2482850" cy="459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0</xdr:row>
      <xdr:rowOff>114300</xdr:rowOff>
    </xdr:from>
    <xdr:to>
      <xdr:col>5</xdr:col>
      <xdr:colOff>95250</xdr:colOff>
      <xdr:row>0</xdr:row>
      <xdr:rowOff>895350</xdr:rowOff>
    </xdr:to>
    <xdr:sp macro="" textlink="">
      <xdr:nvSpPr>
        <xdr:cNvPr id="3" name="CuadroTexto 2">
          <a:extLst>
            <a:ext uri="{FF2B5EF4-FFF2-40B4-BE49-F238E27FC236}">
              <a16:creationId xmlns:a16="http://schemas.microsoft.com/office/drawing/2014/main" id="{CC64A760-04DF-4980-B031-AB7312563910}"/>
            </a:ext>
          </a:extLst>
        </xdr:cNvPr>
        <xdr:cNvSpPr txBox="1"/>
      </xdr:nvSpPr>
      <xdr:spPr>
        <a:xfrm>
          <a:off x="1914525" y="114300"/>
          <a:ext cx="6905625" cy="781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Tecnologia de la informacion</a:t>
          </a:r>
          <a:r>
            <a:rPr lang="es-CL" sz="1100" baseline="0"/>
            <a:t> y ciberseguridad</a:t>
          </a:r>
        </a:p>
        <a:p>
          <a:r>
            <a:rPr lang="es-CL" sz="1100" baseline="0"/>
            <a:t>Analista programador</a:t>
          </a:r>
        </a:p>
        <a:p>
          <a:r>
            <a:rPr lang="es-CL" sz="1100" baseline="0"/>
            <a:t>Ingenieria en informatica</a:t>
          </a:r>
          <a:endParaRPr lang="es-CL"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DA2B1-FE3D-4A70-87CC-AF029D4C1F36}">
  <dimension ref="B1:L31"/>
  <sheetViews>
    <sheetView tabSelected="1" topLeftCell="A19" zoomScaleNormal="100" workbookViewId="0">
      <selection activeCell="F29" sqref="F29"/>
    </sheetView>
  </sheetViews>
  <sheetFormatPr baseColWidth="10" defaultColWidth="11.42578125" defaultRowHeight="15" x14ac:dyDescent="0.3"/>
  <cols>
    <col min="1" max="1" width="5.42578125" style="1" customWidth="1"/>
    <col min="2" max="2" width="22.5703125" style="1" customWidth="1"/>
    <col min="3" max="3" width="45.85546875" style="1" customWidth="1"/>
    <col min="4" max="4" width="27.42578125" style="1" bestFit="1" customWidth="1"/>
    <col min="5" max="5" width="29.5703125" style="1" bestFit="1" customWidth="1"/>
    <col min="6" max="6" width="28.7109375" style="1" customWidth="1"/>
    <col min="7" max="8" width="16.140625" style="1" customWidth="1"/>
    <col min="9" max="9" width="13.5703125" style="1" customWidth="1"/>
    <col min="10" max="10" width="54.5703125" style="1" customWidth="1"/>
    <col min="11" max="11" width="11.42578125" style="1"/>
    <col min="12" max="12" width="0" style="1" hidden="1" customWidth="1"/>
    <col min="13" max="16384" width="11.42578125" style="1"/>
  </cols>
  <sheetData>
    <row r="1" spans="2:12" ht="83.25" customHeight="1" x14ac:dyDescent="0.3">
      <c r="B1" s="2"/>
      <c r="C1" s="30"/>
      <c r="D1" s="30"/>
      <c r="E1" s="30"/>
      <c r="F1" s="30"/>
      <c r="G1" s="30"/>
      <c r="H1" s="30"/>
      <c r="I1" s="30"/>
      <c r="J1" s="30"/>
    </row>
    <row r="2" spans="2:12" x14ac:dyDescent="0.3">
      <c r="B2" s="2"/>
      <c r="C2" s="31" t="s">
        <v>14</v>
      </c>
      <c r="D2" s="31"/>
      <c r="E2" s="31"/>
      <c r="F2" s="3"/>
      <c r="G2" s="32" t="s">
        <v>0</v>
      </c>
      <c r="H2" s="32"/>
      <c r="I2" s="32"/>
      <c r="J2" s="22">
        <v>18</v>
      </c>
    </row>
    <row r="3" spans="2:12" x14ac:dyDescent="0.3">
      <c r="B3" s="2"/>
      <c r="C3" s="31" t="s">
        <v>13</v>
      </c>
      <c r="D3" s="31"/>
      <c r="E3" s="31"/>
      <c r="F3" s="3"/>
      <c r="G3" s="3"/>
      <c r="H3" s="3"/>
      <c r="I3" s="3"/>
      <c r="J3" s="3"/>
    </row>
    <row r="4" spans="2:12" x14ac:dyDescent="0.3">
      <c r="B4" s="2"/>
      <c r="C4" s="31" t="s">
        <v>15</v>
      </c>
      <c r="D4" s="31"/>
      <c r="E4" s="31"/>
      <c r="F4" s="3"/>
      <c r="G4" s="3"/>
      <c r="H4" s="3"/>
      <c r="I4" s="3"/>
      <c r="J4" s="3"/>
    </row>
    <row r="5" spans="2:12" ht="15.75" thickBot="1" x14ac:dyDescent="0.35">
      <c r="B5" s="2"/>
      <c r="C5" s="23"/>
      <c r="D5" s="23"/>
      <c r="E5" s="23"/>
      <c r="F5" s="3"/>
      <c r="G5" s="3"/>
      <c r="H5" s="3"/>
      <c r="I5" s="3"/>
      <c r="J5" s="3"/>
    </row>
    <row r="6" spans="2:12" ht="33" customHeight="1" thickBot="1" x14ac:dyDescent="0.35">
      <c r="B6" s="2"/>
      <c r="C6" s="24" t="s">
        <v>17</v>
      </c>
      <c r="D6" s="25"/>
      <c r="E6" s="25"/>
      <c r="F6" s="25"/>
      <c r="G6" s="25"/>
      <c r="H6" s="25"/>
      <c r="I6" s="25"/>
      <c r="J6" s="26"/>
    </row>
    <row r="7" spans="2:12" x14ac:dyDescent="0.3">
      <c r="B7" s="4"/>
      <c r="C7" s="5"/>
      <c r="D7" s="6"/>
      <c r="E7" s="7"/>
      <c r="F7" s="7"/>
      <c r="G7" s="7"/>
      <c r="H7" s="7"/>
      <c r="I7" s="7"/>
      <c r="J7" s="4"/>
    </row>
    <row r="8" spans="2:12" ht="30" x14ac:dyDescent="0.3">
      <c r="B8" s="8" t="s">
        <v>1</v>
      </c>
      <c r="C8" s="8" t="s">
        <v>2</v>
      </c>
      <c r="D8" s="27" t="s">
        <v>10</v>
      </c>
      <c r="E8" s="28"/>
      <c r="F8" s="29"/>
      <c r="G8" s="9" t="s">
        <v>3</v>
      </c>
      <c r="H8" s="8" t="s">
        <v>5</v>
      </c>
      <c r="I8" s="8" t="s">
        <v>6</v>
      </c>
      <c r="J8" s="9" t="s">
        <v>4</v>
      </c>
    </row>
    <row r="9" spans="2:12" s="10" customFormat="1" ht="61.5" customHeight="1" x14ac:dyDescent="0.25">
      <c r="B9" s="33" t="s">
        <v>18</v>
      </c>
      <c r="C9" s="17" t="s">
        <v>22</v>
      </c>
      <c r="D9" s="20" t="s">
        <v>20</v>
      </c>
      <c r="E9" s="20" t="s">
        <v>19</v>
      </c>
      <c r="F9" s="20" t="s">
        <v>16</v>
      </c>
      <c r="G9" s="11">
        <v>3</v>
      </c>
      <c r="H9" s="11">
        <v>6</v>
      </c>
      <c r="I9" s="12">
        <f>(H9*G9)/100</f>
        <v>0.18</v>
      </c>
      <c r="J9" s="19"/>
    </row>
    <row r="10" spans="2:12" ht="61.5" customHeight="1" x14ac:dyDescent="0.3">
      <c r="B10" s="33"/>
      <c r="C10" s="17" t="s">
        <v>21</v>
      </c>
      <c r="D10" s="20" t="s">
        <v>20</v>
      </c>
      <c r="E10" s="20" t="s">
        <v>19</v>
      </c>
      <c r="F10" s="20" t="s">
        <v>16</v>
      </c>
      <c r="G10" s="11">
        <v>3</v>
      </c>
      <c r="H10" s="11">
        <v>6</v>
      </c>
      <c r="I10" s="12">
        <f t="shared" ref="I10:I26" si="0">(H10*G10)/100</f>
        <v>0.18</v>
      </c>
      <c r="J10" s="19"/>
      <c r="L10" s="1" t="s">
        <v>9</v>
      </c>
    </row>
    <row r="11" spans="2:12" ht="61.5" customHeight="1" x14ac:dyDescent="0.3">
      <c r="B11" s="33"/>
      <c r="C11" s="17" t="s">
        <v>23</v>
      </c>
      <c r="D11" s="20" t="s">
        <v>20</v>
      </c>
      <c r="E11" s="20" t="s">
        <v>19</v>
      </c>
      <c r="F11" s="20" t="s">
        <v>16</v>
      </c>
      <c r="G11" s="11">
        <v>4</v>
      </c>
      <c r="H11" s="11">
        <v>6</v>
      </c>
      <c r="I11" s="12">
        <f t="shared" si="0"/>
        <v>0.24</v>
      </c>
      <c r="J11" s="19"/>
      <c r="L11" s="10">
        <v>6</v>
      </c>
    </row>
    <row r="12" spans="2:12" ht="61.5" customHeight="1" x14ac:dyDescent="0.3">
      <c r="B12" s="33"/>
      <c r="C12" s="17" t="s">
        <v>24</v>
      </c>
      <c r="D12" s="20" t="s">
        <v>20</v>
      </c>
      <c r="E12" s="20" t="s">
        <v>19</v>
      </c>
      <c r="F12" s="20" t="s">
        <v>16</v>
      </c>
      <c r="G12" s="11">
        <v>2</v>
      </c>
      <c r="H12" s="11">
        <v>6</v>
      </c>
      <c r="I12" s="12">
        <f t="shared" si="0"/>
        <v>0.12</v>
      </c>
      <c r="J12" s="19"/>
      <c r="L12" s="1">
        <v>4</v>
      </c>
    </row>
    <row r="13" spans="2:12" ht="61.5" customHeight="1" x14ac:dyDescent="0.3">
      <c r="B13" s="33"/>
      <c r="C13" s="17" t="s">
        <v>25</v>
      </c>
      <c r="D13" s="20" t="s">
        <v>20</v>
      </c>
      <c r="E13" s="20" t="s">
        <v>19</v>
      </c>
      <c r="F13" s="20" t="s">
        <v>16</v>
      </c>
      <c r="G13" s="11">
        <v>8</v>
      </c>
      <c r="H13" s="11">
        <v>6</v>
      </c>
      <c r="I13" s="12">
        <f t="shared" si="0"/>
        <v>0.48</v>
      </c>
      <c r="J13" s="11"/>
    </row>
    <row r="14" spans="2:12" ht="61.5" customHeight="1" x14ac:dyDescent="0.3">
      <c r="B14" s="33"/>
      <c r="C14" s="17" t="s">
        <v>26</v>
      </c>
      <c r="D14" s="20" t="s">
        <v>20</v>
      </c>
      <c r="E14" s="20" t="s">
        <v>19</v>
      </c>
      <c r="F14" s="20" t="s">
        <v>16</v>
      </c>
      <c r="G14" s="11">
        <v>10</v>
      </c>
      <c r="H14" s="11">
        <v>6</v>
      </c>
      <c r="I14" s="12">
        <f t="shared" si="0"/>
        <v>0.6</v>
      </c>
      <c r="J14" s="11"/>
    </row>
    <row r="15" spans="2:12" ht="61.5" customHeight="1" x14ac:dyDescent="0.3">
      <c r="B15" s="33"/>
      <c r="C15" s="17" t="s">
        <v>27</v>
      </c>
      <c r="D15" s="20" t="s">
        <v>20</v>
      </c>
      <c r="E15" s="20" t="s">
        <v>19</v>
      </c>
      <c r="F15" s="20" t="s">
        <v>16</v>
      </c>
      <c r="G15" s="11">
        <v>10</v>
      </c>
      <c r="H15" s="11">
        <v>6</v>
      </c>
      <c r="I15" s="12">
        <f t="shared" si="0"/>
        <v>0.6</v>
      </c>
      <c r="J15" s="11"/>
    </row>
    <row r="16" spans="2:12" ht="61.5" customHeight="1" x14ac:dyDescent="0.3">
      <c r="B16" s="33"/>
      <c r="C16" s="17" t="s">
        <v>28</v>
      </c>
      <c r="D16" s="20" t="s">
        <v>20</v>
      </c>
      <c r="E16" s="20" t="s">
        <v>19</v>
      </c>
      <c r="F16" s="20" t="s">
        <v>16</v>
      </c>
      <c r="G16" s="11">
        <v>2</v>
      </c>
      <c r="H16" s="11">
        <v>6</v>
      </c>
      <c r="I16" s="12">
        <f t="shared" si="0"/>
        <v>0.12</v>
      </c>
      <c r="J16" s="11"/>
    </row>
    <row r="17" spans="2:10" ht="61.5" customHeight="1" x14ac:dyDescent="0.3">
      <c r="B17" s="33"/>
      <c r="C17" s="17" t="s">
        <v>29</v>
      </c>
      <c r="D17" s="20" t="s">
        <v>20</v>
      </c>
      <c r="E17" s="20" t="s">
        <v>19</v>
      </c>
      <c r="F17" s="20" t="s">
        <v>16</v>
      </c>
      <c r="G17" s="11">
        <v>10</v>
      </c>
      <c r="H17" s="11">
        <v>6</v>
      </c>
      <c r="I17" s="12">
        <f t="shared" si="0"/>
        <v>0.6</v>
      </c>
      <c r="J17" s="11"/>
    </row>
    <row r="18" spans="2:10" ht="61.5" customHeight="1" x14ac:dyDescent="0.3">
      <c r="B18" s="33"/>
      <c r="C18" s="17" t="s">
        <v>30</v>
      </c>
      <c r="D18" s="20" t="s">
        <v>20</v>
      </c>
      <c r="E18" s="20" t="s">
        <v>19</v>
      </c>
      <c r="F18" s="20" t="s">
        <v>16</v>
      </c>
      <c r="G18" s="11">
        <v>2</v>
      </c>
      <c r="H18" s="11">
        <v>6</v>
      </c>
      <c r="I18" s="12">
        <f t="shared" si="0"/>
        <v>0.12</v>
      </c>
      <c r="J18" s="11"/>
    </row>
    <row r="19" spans="2:10" ht="61.5" customHeight="1" x14ac:dyDescent="0.3">
      <c r="B19" s="33"/>
      <c r="C19" s="17" t="s">
        <v>31</v>
      </c>
      <c r="D19" s="20" t="s">
        <v>20</v>
      </c>
      <c r="E19" s="20" t="s">
        <v>19</v>
      </c>
      <c r="F19" s="20" t="s">
        <v>16</v>
      </c>
      <c r="G19" s="11">
        <v>10</v>
      </c>
      <c r="H19" s="11">
        <v>6</v>
      </c>
      <c r="I19" s="12">
        <f t="shared" si="0"/>
        <v>0.6</v>
      </c>
      <c r="J19" s="11"/>
    </row>
    <row r="20" spans="2:10" ht="61.5" customHeight="1" x14ac:dyDescent="0.3">
      <c r="B20" s="33"/>
      <c r="C20" s="17" t="s">
        <v>32</v>
      </c>
      <c r="D20" s="20" t="s">
        <v>20</v>
      </c>
      <c r="E20" s="20" t="s">
        <v>19</v>
      </c>
      <c r="F20" s="20" t="s">
        <v>16</v>
      </c>
      <c r="G20" s="11">
        <v>4</v>
      </c>
      <c r="H20" s="11">
        <v>6</v>
      </c>
      <c r="I20" s="12">
        <f t="shared" si="0"/>
        <v>0.24</v>
      </c>
      <c r="J20" s="11"/>
    </row>
    <row r="21" spans="2:10" ht="61.5" customHeight="1" x14ac:dyDescent="0.3">
      <c r="B21" s="33"/>
      <c r="C21" s="17" t="s">
        <v>35</v>
      </c>
      <c r="D21" s="20" t="s">
        <v>20</v>
      </c>
      <c r="E21" s="20" t="s">
        <v>19</v>
      </c>
      <c r="F21" s="20" t="s">
        <v>16</v>
      </c>
      <c r="G21" s="11">
        <v>6</v>
      </c>
      <c r="H21" s="11">
        <v>6</v>
      </c>
      <c r="I21" s="12">
        <f t="shared" si="0"/>
        <v>0.36</v>
      </c>
      <c r="J21" s="11"/>
    </row>
    <row r="22" spans="2:10" ht="61.5" customHeight="1" x14ac:dyDescent="0.3">
      <c r="B22" s="33"/>
      <c r="C22" s="17" t="s">
        <v>36</v>
      </c>
      <c r="D22" s="20" t="s">
        <v>20</v>
      </c>
      <c r="E22" s="20" t="s">
        <v>19</v>
      </c>
      <c r="F22" s="20" t="s">
        <v>16</v>
      </c>
      <c r="G22" s="11">
        <v>2</v>
      </c>
      <c r="H22" s="11">
        <v>6</v>
      </c>
      <c r="I22" s="12">
        <f t="shared" si="0"/>
        <v>0.12</v>
      </c>
      <c r="J22" s="11"/>
    </row>
    <row r="23" spans="2:10" ht="61.5" customHeight="1" x14ac:dyDescent="0.3">
      <c r="B23" s="33"/>
      <c r="C23" s="17" t="s">
        <v>33</v>
      </c>
      <c r="D23" s="20" t="s">
        <v>20</v>
      </c>
      <c r="E23" s="20" t="s">
        <v>19</v>
      </c>
      <c r="F23" s="20" t="s">
        <v>16</v>
      </c>
      <c r="G23" s="11">
        <v>2</v>
      </c>
      <c r="H23" s="11">
        <v>6</v>
      </c>
      <c r="I23" s="12">
        <f t="shared" si="0"/>
        <v>0.12</v>
      </c>
      <c r="J23" s="11"/>
    </row>
    <row r="24" spans="2:10" ht="61.5" customHeight="1" x14ac:dyDescent="0.3">
      <c r="B24" s="33"/>
      <c r="C24" s="17" t="s">
        <v>34</v>
      </c>
      <c r="D24" s="20" t="s">
        <v>20</v>
      </c>
      <c r="E24" s="20" t="s">
        <v>19</v>
      </c>
      <c r="F24" s="20" t="s">
        <v>16</v>
      </c>
      <c r="G24" s="11">
        <v>4</v>
      </c>
      <c r="H24" s="11">
        <v>6</v>
      </c>
      <c r="I24" s="12">
        <f t="shared" si="0"/>
        <v>0.24</v>
      </c>
      <c r="J24" s="11"/>
    </row>
    <row r="25" spans="2:10" ht="61.5" customHeight="1" x14ac:dyDescent="0.3">
      <c r="B25" s="33"/>
      <c r="C25" s="17" t="s">
        <v>37</v>
      </c>
      <c r="D25" s="20" t="s">
        <v>20</v>
      </c>
      <c r="E25" s="20" t="s">
        <v>19</v>
      </c>
      <c r="F25" s="20" t="s">
        <v>16</v>
      </c>
      <c r="G25" s="11">
        <v>10</v>
      </c>
      <c r="H25" s="11">
        <v>6</v>
      </c>
      <c r="I25" s="12">
        <f t="shared" si="0"/>
        <v>0.6</v>
      </c>
      <c r="J25" s="11"/>
    </row>
    <row r="26" spans="2:10" ht="61.5" customHeight="1" x14ac:dyDescent="0.3">
      <c r="B26" s="33"/>
      <c r="C26" s="17" t="s">
        <v>38</v>
      </c>
      <c r="D26" s="20" t="s">
        <v>20</v>
      </c>
      <c r="E26" s="20" t="s">
        <v>19</v>
      </c>
      <c r="F26" s="20" t="s">
        <v>16</v>
      </c>
      <c r="G26" s="11">
        <v>8</v>
      </c>
      <c r="H26" s="11">
        <v>6</v>
      </c>
      <c r="I26" s="12">
        <f t="shared" si="0"/>
        <v>0.48</v>
      </c>
      <c r="J26" s="11"/>
    </row>
    <row r="27" spans="2:10" x14ac:dyDescent="0.3">
      <c r="F27" s="13" t="s">
        <v>8</v>
      </c>
      <c r="G27" s="15">
        <f>SUM(G9:G26)</f>
        <v>100</v>
      </c>
      <c r="H27" s="14" t="s">
        <v>7</v>
      </c>
      <c r="I27" s="16">
        <f>SUM(I9:I26)*J2</f>
        <v>108</v>
      </c>
    </row>
    <row r="28" spans="2:10" x14ac:dyDescent="0.3">
      <c r="I28" s="18"/>
    </row>
    <row r="29" spans="2:10" x14ac:dyDescent="0.3">
      <c r="I29" s="18"/>
    </row>
    <row r="31" spans="2:10" x14ac:dyDescent="0.3">
      <c r="G31" s="13" t="s">
        <v>11</v>
      </c>
      <c r="H31" s="1">
        <f>_xlfn.XLOOKUP(ROUND(I27,0)-J2, 'Escala de notas'!A:A, 'Escala de notas'!B:B)</f>
        <v>7</v>
      </c>
    </row>
  </sheetData>
  <mergeCells count="9">
    <mergeCell ref="C5:E5"/>
    <mergeCell ref="C6:J6"/>
    <mergeCell ref="D8:F8"/>
    <mergeCell ref="B9:B26"/>
    <mergeCell ref="C1:J1"/>
    <mergeCell ref="C2:E2"/>
    <mergeCell ref="G2:I2"/>
    <mergeCell ref="C3:E3"/>
    <mergeCell ref="C4:E4"/>
  </mergeCells>
  <dataValidations count="2">
    <dataValidation type="list" allowBlank="1" showInputMessage="1" showErrorMessage="1" sqref="H27" xr:uid="{826DA66E-453C-4C67-9E8B-571BFCE0D7A0}">
      <formula1>$L$11:$L$12</formula1>
    </dataValidation>
    <dataValidation type="list" allowBlank="1" showInputMessage="1" showErrorMessage="1" sqref="H9:H26" xr:uid="{90E1C8C2-876A-4B86-8803-73EE3F1C0C28}">
      <formula1>"6,4,1"</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BED01-57B6-4BF1-B9BF-D9C0F26DE339}">
  <dimension ref="A1:B102"/>
  <sheetViews>
    <sheetView workbookViewId="0">
      <selection activeCell="I93" sqref="I93"/>
    </sheetView>
  </sheetViews>
  <sheetFormatPr baseColWidth="10" defaultRowHeight="15" x14ac:dyDescent="0.25"/>
  <cols>
    <col min="1" max="1" width="11.42578125" style="21"/>
  </cols>
  <sheetData>
    <row r="1" spans="1:2" x14ac:dyDescent="0.25">
      <c r="A1" t="s">
        <v>12</v>
      </c>
      <c r="B1" t="s">
        <v>11</v>
      </c>
    </row>
    <row r="2" spans="1:2" x14ac:dyDescent="0.25">
      <c r="A2">
        <v>0</v>
      </c>
      <c r="B2">
        <f t="shared" ref="B2:B65" si="0">ROUND(TRUNC(IF(A2&lt;54,3*A2/54+1,3*(A2-54)/36+4),2),1)</f>
        <v>1</v>
      </c>
    </row>
    <row r="3" spans="1:2" x14ac:dyDescent="0.25">
      <c r="A3">
        <v>1</v>
      </c>
      <c r="B3">
        <f t="shared" si="0"/>
        <v>1.1000000000000001</v>
      </c>
    </row>
    <row r="4" spans="1:2" x14ac:dyDescent="0.25">
      <c r="A4">
        <v>2</v>
      </c>
      <c r="B4">
        <f t="shared" si="0"/>
        <v>1.1000000000000001</v>
      </c>
    </row>
    <row r="5" spans="1:2" x14ac:dyDescent="0.25">
      <c r="A5">
        <v>3</v>
      </c>
      <c r="B5">
        <f t="shared" si="0"/>
        <v>1.2</v>
      </c>
    </row>
    <row r="6" spans="1:2" x14ac:dyDescent="0.25">
      <c r="A6">
        <v>4</v>
      </c>
      <c r="B6">
        <f t="shared" si="0"/>
        <v>1.2</v>
      </c>
    </row>
    <row r="7" spans="1:2" x14ac:dyDescent="0.25">
      <c r="A7">
        <v>5</v>
      </c>
      <c r="B7">
        <f t="shared" si="0"/>
        <v>1.3</v>
      </c>
    </row>
    <row r="8" spans="1:2" x14ac:dyDescent="0.25">
      <c r="A8">
        <v>6</v>
      </c>
      <c r="B8">
        <f t="shared" si="0"/>
        <v>1.3</v>
      </c>
    </row>
    <row r="9" spans="1:2" x14ac:dyDescent="0.25">
      <c r="A9">
        <v>7</v>
      </c>
      <c r="B9">
        <f t="shared" si="0"/>
        <v>1.4</v>
      </c>
    </row>
    <row r="10" spans="1:2" x14ac:dyDescent="0.25">
      <c r="A10">
        <v>8</v>
      </c>
      <c r="B10">
        <f t="shared" si="0"/>
        <v>1.4</v>
      </c>
    </row>
    <row r="11" spans="1:2" x14ac:dyDescent="0.25">
      <c r="A11">
        <v>9</v>
      </c>
      <c r="B11">
        <f t="shared" si="0"/>
        <v>1.5</v>
      </c>
    </row>
    <row r="12" spans="1:2" x14ac:dyDescent="0.25">
      <c r="A12">
        <v>10</v>
      </c>
      <c r="B12">
        <f t="shared" si="0"/>
        <v>1.6</v>
      </c>
    </row>
    <row r="13" spans="1:2" x14ac:dyDescent="0.25">
      <c r="A13">
        <v>11</v>
      </c>
      <c r="B13">
        <f t="shared" si="0"/>
        <v>1.6</v>
      </c>
    </row>
    <row r="14" spans="1:2" x14ac:dyDescent="0.25">
      <c r="A14">
        <v>12</v>
      </c>
      <c r="B14">
        <f t="shared" si="0"/>
        <v>1.7</v>
      </c>
    </row>
    <row r="15" spans="1:2" x14ac:dyDescent="0.25">
      <c r="A15">
        <v>13</v>
      </c>
      <c r="B15">
        <f t="shared" si="0"/>
        <v>1.7</v>
      </c>
    </row>
    <row r="16" spans="1:2" x14ac:dyDescent="0.25">
      <c r="A16">
        <v>14</v>
      </c>
      <c r="B16">
        <f t="shared" si="0"/>
        <v>1.8</v>
      </c>
    </row>
    <row r="17" spans="1:2" x14ac:dyDescent="0.25">
      <c r="A17">
        <v>15</v>
      </c>
      <c r="B17">
        <f t="shared" si="0"/>
        <v>1.8</v>
      </c>
    </row>
    <row r="18" spans="1:2" x14ac:dyDescent="0.25">
      <c r="A18">
        <v>16</v>
      </c>
      <c r="B18">
        <f t="shared" si="0"/>
        <v>1.9</v>
      </c>
    </row>
    <row r="19" spans="1:2" x14ac:dyDescent="0.25">
      <c r="A19">
        <v>17</v>
      </c>
      <c r="B19">
        <f t="shared" si="0"/>
        <v>1.9</v>
      </c>
    </row>
    <row r="20" spans="1:2" x14ac:dyDescent="0.25">
      <c r="A20">
        <v>18</v>
      </c>
      <c r="B20">
        <f t="shared" si="0"/>
        <v>2</v>
      </c>
    </row>
    <row r="21" spans="1:2" x14ac:dyDescent="0.25">
      <c r="A21">
        <v>19</v>
      </c>
      <c r="B21">
        <f t="shared" si="0"/>
        <v>2.1</v>
      </c>
    </row>
    <row r="22" spans="1:2" x14ac:dyDescent="0.25">
      <c r="A22">
        <v>20</v>
      </c>
      <c r="B22">
        <f t="shared" si="0"/>
        <v>2.1</v>
      </c>
    </row>
    <row r="23" spans="1:2" x14ac:dyDescent="0.25">
      <c r="A23">
        <v>21</v>
      </c>
      <c r="B23">
        <f t="shared" si="0"/>
        <v>2.2000000000000002</v>
      </c>
    </row>
    <row r="24" spans="1:2" x14ac:dyDescent="0.25">
      <c r="A24">
        <v>22</v>
      </c>
      <c r="B24">
        <f t="shared" si="0"/>
        <v>2.2000000000000002</v>
      </c>
    </row>
    <row r="25" spans="1:2" x14ac:dyDescent="0.25">
      <c r="A25">
        <v>23</v>
      </c>
      <c r="B25">
        <f t="shared" si="0"/>
        <v>2.2999999999999998</v>
      </c>
    </row>
    <row r="26" spans="1:2" x14ac:dyDescent="0.25">
      <c r="A26">
        <v>24</v>
      </c>
      <c r="B26">
        <f t="shared" si="0"/>
        <v>2.2999999999999998</v>
      </c>
    </row>
    <row r="27" spans="1:2" x14ac:dyDescent="0.25">
      <c r="A27">
        <v>25</v>
      </c>
      <c r="B27">
        <f t="shared" si="0"/>
        <v>2.4</v>
      </c>
    </row>
    <row r="28" spans="1:2" x14ac:dyDescent="0.25">
      <c r="A28">
        <v>26</v>
      </c>
      <c r="B28">
        <f t="shared" si="0"/>
        <v>2.4</v>
      </c>
    </row>
    <row r="29" spans="1:2" x14ac:dyDescent="0.25">
      <c r="A29">
        <v>27</v>
      </c>
      <c r="B29">
        <f t="shared" si="0"/>
        <v>2.5</v>
      </c>
    </row>
    <row r="30" spans="1:2" x14ac:dyDescent="0.25">
      <c r="A30">
        <v>28</v>
      </c>
      <c r="B30">
        <f t="shared" si="0"/>
        <v>2.6</v>
      </c>
    </row>
    <row r="31" spans="1:2" x14ac:dyDescent="0.25">
      <c r="A31">
        <v>29</v>
      </c>
      <c r="B31">
        <f t="shared" si="0"/>
        <v>2.6</v>
      </c>
    </row>
    <row r="32" spans="1:2" x14ac:dyDescent="0.25">
      <c r="A32">
        <v>30</v>
      </c>
      <c r="B32">
        <f t="shared" si="0"/>
        <v>2.7</v>
      </c>
    </row>
    <row r="33" spans="1:2" x14ac:dyDescent="0.25">
      <c r="A33">
        <v>31</v>
      </c>
      <c r="B33">
        <f t="shared" si="0"/>
        <v>2.7</v>
      </c>
    </row>
    <row r="34" spans="1:2" x14ac:dyDescent="0.25">
      <c r="A34">
        <v>32</v>
      </c>
      <c r="B34">
        <f t="shared" si="0"/>
        <v>2.8</v>
      </c>
    </row>
    <row r="35" spans="1:2" x14ac:dyDescent="0.25">
      <c r="A35">
        <v>33</v>
      </c>
      <c r="B35">
        <f t="shared" si="0"/>
        <v>2.8</v>
      </c>
    </row>
    <row r="36" spans="1:2" x14ac:dyDescent="0.25">
      <c r="A36">
        <v>34</v>
      </c>
      <c r="B36">
        <f t="shared" si="0"/>
        <v>2.9</v>
      </c>
    </row>
    <row r="37" spans="1:2" x14ac:dyDescent="0.25">
      <c r="A37">
        <v>35</v>
      </c>
      <c r="B37">
        <f t="shared" si="0"/>
        <v>2.9</v>
      </c>
    </row>
    <row r="38" spans="1:2" x14ac:dyDescent="0.25">
      <c r="A38">
        <v>36</v>
      </c>
      <c r="B38">
        <f t="shared" si="0"/>
        <v>3</v>
      </c>
    </row>
    <row r="39" spans="1:2" x14ac:dyDescent="0.25">
      <c r="A39">
        <v>37</v>
      </c>
      <c r="B39">
        <f t="shared" si="0"/>
        <v>3.1</v>
      </c>
    </row>
    <row r="40" spans="1:2" x14ac:dyDescent="0.25">
      <c r="A40">
        <v>38</v>
      </c>
      <c r="B40">
        <f t="shared" si="0"/>
        <v>3.1</v>
      </c>
    </row>
    <row r="41" spans="1:2" x14ac:dyDescent="0.25">
      <c r="A41">
        <v>39</v>
      </c>
      <c r="B41">
        <f t="shared" si="0"/>
        <v>3.2</v>
      </c>
    </row>
    <row r="42" spans="1:2" x14ac:dyDescent="0.25">
      <c r="A42">
        <v>40</v>
      </c>
      <c r="B42">
        <f t="shared" si="0"/>
        <v>3.2</v>
      </c>
    </row>
    <row r="43" spans="1:2" x14ac:dyDescent="0.25">
      <c r="A43">
        <v>41</v>
      </c>
      <c r="B43">
        <f t="shared" si="0"/>
        <v>3.3</v>
      </c>
    </row>
    <row r="44" spans="1:2" x14ac:dyDescent="0.25">
      <c r="A44">
        <v>42</v>
      </c>
      <c r="B44">
        <f t="shared" si="0"/>
        <v>3.3</v>
      </c>
    </row>
    <row r="45" spans="1:2" x14ac:dyDescent="0.25">
      <c r="A45">
        <v>43</v>
      </c>
      <c r="B45">
        <f t="shared" si="0"/>
        <v>3.4</v>
      </c>
    </row>
    <row r="46" spans="1:2" x14ac:dyDescent="0.25">
      <c r="A46">
        <v>44</v>
      </c>
      <c r="B46">
        <f t="shared" si="0"/>
        <v>3.4</v>
      </c>
    </row>
    <row r="47" spans="1:2" x14ac:dyDescent="0.25">
      <c r="A47">
        <v>45</v>
      </c>
      <c r="B47">
        <f t="shared" si="0"/>
        <v>3.5</v>
      </c>
    </row>
    <row r="48" spans="1:2" x14ac:dyDescent="0.25">
      <c r="A48">
        <v>46</v>
      </c>
      <c r="B48">
        <f t="shared" si="0"/>
        <v>3.6</v>
      </c>
    </row>
    <row r="49" spans="1:2" x14ac:dyDescent="0.25">
      <c r="A49">
        <v>47</v>
      </c>
      <c r="B49">
        <f t="shared" si="0"/>
        <v>3.6</v>
      </c>
    </row>
    <row r="50" spans="1:2" x14ac:dyDescent="0.25">
      <c r="A50">
        <v>48</v>
      </c>
      <c r="B50">
        <f t="shared" si="0"/>
        <v>3.7</v>
      </c>
    </row>
    <row r="51" spans="1:2" x14ac:dyDescent="0.25">
      <c r="A51">
        <v>49</v>
      </c>
      <c r="B51">
        <f t="shared" si="0"/>
        <v>3.7</v>
      </c>
    </row>
    <row r="52" spans="1:2" x14ac:dyDescent="0.25">
      <c r="A52">
        <v>50</v>
      </c>
      <c r="B52">
        <f t="shared" si="0"/>
        <v>3.8</v>
      </c>
    </row>
    <row r="53" spans="1:2" x14ac:dyDescent="0.25">
      <c r="A53">
        <v>51</v>
      </c>
      <c r="B53">
        <f t="shared" si="0"/>
        <v>3.8</v>
      </c>
    </row>
    <row r="54" spans="1:2" x14ac:dyDescent="0.25">
      <c r="A54">
        <v>52</v>
      </c>
      <c r="B54">
        <f t="shared" si="0"/>
        <v>3.9</v>
      </c>
    </row>
    <row r="55" spans="1:2" x14ac:dyDescent="0.25">
      <c r="A55">
        <v>53</v>
      </c>
      <c r="B55">
        <f t="shared" si="0"/>
        <v>3.9</v>
      </c>
    </row>
    <row r="56" spans="1:2" x14ac:dyDescent="0.25">
      <c r="A56">
        <v>54</v>
      </c>
      <c r="B56">
        <f t="shared" si="0"/>
        <v>4</v>
      </c>
    </row>
    <row r="57" spans="1:2" x14ac:dyDescent="0.25">
      <c r="A57">
        <v>55</v>
      </c>
      <c r="B57">
        <f t="shared" si="0"/>
        <v>4.0999999999999996</v>
      </c>
    </row>
    <row r="58" spans="1:2" x14ac:dyDescent="0.25">
      <c r="A58">
        <v>56</v>
      </c>
      <c r="B58">
        <f t="shared" si="0"/>
        <v>4.2</v>
      </c>
    </row>
    <row r="59" spans="1:2" x14ac:dyDescent="0.25">
      <c r="A59">
        <v>57</v>
      </c>
      <c r="B59">
        <f t="shared" si="0"/>
        <v>4.3</v>
      </c>
    </row>
    <row r="60" spans="1:2" x14ac:dyDescent="0.25">
      <c r="A60">
        <v>58</v>
      </c>
      <c r="B60">
        <f t="shared" si="0"/>
        <v>4.3</v>
      </c>
    </row>
    <row r="61" spans="1:2" x14ac:dyDescent="0.25">
      <c r="A61">
        <v>59</v>
      </c>
      <c r="B61">
        <f t="shared" si="0"/>
        <v>4.4000000000000004</v>
      </c>
    </row>
    <row r="62" spans="1:2" x14ac:dyDescent="0.25">
      <c r="A62">
        <v>60</v>
      </c>
      <c r="B62">
        <f t="shared" si="0"/>
        <v>4.5</v>
      </c>
    </row>
    <row r="63" spans="1:2" x14ac:dyDescent="0.25">
      <c r="A63">
        <v>61</v>
      </c>
      <c r="B63">
        <f t="shared" si="0"/>
        <v>4.5999999999999996</v>
      </c>
    </row>
    <row r="64" spans="1:2" x14ac:dyDescent="0.25">
      <c r="A64">
        <v>62</v>
      </c>
      <c r="B64">
        <f t="shared" si="0"/>
        <v>4.7</v>
      </c>
    </row>
    <row r="65" spans="1:2" x14ac:dyDescent="0.25">
      <c r="A65">
        <v>63</v>
      </c>
      <c r="B65">
        <f t="shared" si="0"/>
        <v>4.8</v>
      </c>
    </row>
    <row r="66" spans="1:2" x14ac:dyDescent="0.25">
      <c r="A66">
        <v>64</v>
      </c>
      <c r="B66">
        <f t="shared" ref="B66:B92" si="1">ROUND(TRUNC(IF(A66&lt;54,3*A66/54+1,3*(A66-54)/36+4),2),1)</f>
        <v>4.8</v>
      </c>
    </row>
    <row r="67" spans="1:2" x14ac:dyDescent="0.25">
      <c r="A67">
        <v>65</v>
      </c>
      <c r="B67">
        <f t="shared" si="1"/>
        <v>4.9000000000000004</v>
      </c>
    </row>
    <row r="68" spans="1:2" x14ac:dyDescent="0.25">
      <c r="A68">
        <v>66</v>
      </c>
      <c r="B68">
        <f t="shared" si="1"/>
        <v>5</v>
      </c>
    </row>
    <row r="69" spans="1:2" x14ac:dyDescent="0.25">
      <c r="A69">
        <v>67</v>
      </c>
      <c r="B69">
        <f t="shared" si="1"/>
        <v>5.0999999999999996</v>
      </c>
    </row>
    <row r="70" spans="1:2" x14ac:dyDescent="0.25">
      <c r="A70">
        <v>68</v>
      </c>
      <c r="B70">
        <f t="shared" si="1"/>
        <v>5.2</v>
      </c>
    </row>
    <row r="71" spans="1:2" x14ac:dyDescent="0.25">
      <c r="A71">
        <v>69</v>
      </c>
      <c r="B71">
        <f t="shared" si="1"/>
        <v>5.3</v>
      </c>
    </row>
    <row r="72" spans="1:2" x14ac:dyDescent="0.25">
      <c r="A72">
        <v>70</v>
      </c>
      <c r="B72">
        <f t="shared" si="1"/>
        <v>5.3</v>
      </c>
    </row>
    <row r="73" spans="1:2" x14ac:dyDescent="0.25">
      <c r="A73">
        <v>71</v>
      </c>
      <c r="B73">
        <f t="shared" si="1"/>
        <v>5.4</v>
      </c>
    </row>
    <row r="74" spans="1:2" x14ac:dyDescent="0.25">
      <c r="A74">
        <v>72</v>
      </c>
      <c r="B74">
        <f t="shared" si="1"/>
        <v>5.5</v>
      </c>
    </row>
    <row r="75" spans="1:2" x14ac:dyDescent="0.25">
      <c r="A75">
        <v>73</v>
      </c>
      <c r="B75">
        <f t="shared" si="1"/>
        <v>5.6</v>
      </c>
    </row>
    <row r="76" spans="1:2" x14ac:dyDescent="0.25">
      <c r="A76">
        <v>74</v>
      </c>
      <c r="B76">
        <f t="shared" si="1"/>
        <v>5.7</v>
      </c>
    </row>
    <row r="77" spans="1:2" x14ac:dyDescent="0.25">
      <c r="A77">
        <v>75</v>
      </c>
      <c r="B77">
        <f t="shared" si="1"/>
        <v>5.8</v>
      </c>
    </row>
    <row r="78" spans="1:2" x14ac:dyDescent="0.25">
      <c r="A78">
        <v>76</v>
      </c>
      <c r="B78">
        <f t="shared" si="1"/>
        <v>5.8</v>
      </c>
    </row>
    <row r="79" spans="1:2" x14ac:dyDescent="0.25">
      <c r="A79">
        <v>77</v>
      </c>
      <c r="B79">
        <f t="shared" si="1"/>
        <v>5.9</v>
      </c>
    </row>
    <row r="80" spans="1:2" x14ac:dyDescent="0.25">
      <c r="A80">
        <v>78</v>
      </c>
      <c r="B80">
        <f t="shared" si="1"/>
        <v>6</v>
      </c>
    </row>
    <row r="81" spans="1:2" x14ac:dyDescent="0.25">
      <c r="A81">
        <v>79</v>
      </c>
      <c r="B81">
        <f t="shared" si="1"/>
        <v>6.1</v>
      </c>
    </row>
    <row r="82" spans="1:2" x14ac:dyDescent="0.25">
      <c r="A82">
        <v>80</v>
      </c>
      <c r="B82">
        <f t="shared" si="1"/>
        <v>6.2</v>
      </c>
    </row>
    <row r="83" spans="1:2" x14ac:dyDescent="0.25">
      <c r="A83">
        <v>81</v>
      </c>
      <c r="B83">
        <f t="shared" si="1"/>
        <v>6.3</v>
      </c>
    </row>
    <row r="84" spans="1:2" x14ac:dyDescent="0.25">
      <c r="A84">
        <v>82</v>
      </c>
      <c r="B84">
        <f t="shared" si="1"/>
        <v>6.3</v>
      </c>
    </row>
    <row r="85" spans="1:2" x14ac:dyDescent="0.25">
      <c r="A85">
        <v>83</v>
      </c>
      <c r="B85">
        <f t="shared" si="1"/>
        <v>6.4</v>
      </c>
    </row>
    <row r="86" spans="1:2" x14ac:dyDescent="0.25">
      <c r="A86">
        <v>84</v>
      </c>
      <c r="B86">
        <f t="shared" si="1"/>
        <v>6.5</v>
      </c>
    </row>
    <row r="87" spans="1:2" x14ac:dyDescent="0.25">
      <c r="A87">
        <v>85</v>
      </c>
      <c r="B87">
        <f t="shared" si="1"/>
        <v>6.6</v>
      </c>
    </row>
    <row r="88" spans="1:2" x14ac:dyDescent="0.25">
      <c r="A88">
        <v>86</v>
      </c>
      <c r="B88">
        <f t="shared" si="1"/>
        <v>6.7</v>
      </c>
    </row>
    <row r="89" spans="1:2" x14ac:dyDescent="0.25">
      <c r="A89">
        <v>87</v>
      </c>
      <c r="B89">
        <f t="shared" si="1"/>
        <v>6.8</v>
      </c>
    </row>
    <row r="90" spans="1:2" x14ac:dyDescent="0.25">
      <c r="A90">
        <v>88</v>
      </c>
      <c r="B90">
        <f t="shared" si="1"/>
        <v>6.8</v>
      </c>
    </row>
    <row r="91" spans="1:2" x14ac:dyDescent="0.25">
      <c r="A91">
        <v>89</v>
      </c>
      <c r="B91">
        <f t="shared" si="1"/>
        <v>6.9</v>
      </c>
    </row>
    <row r="92" spans="1:2" x14ac:dyDescent="0.25">
      <c r="A92">
        <v>90</v>
      </c>
      <c r="B92">
        <f t="shared" si="1"/>
        <v>7</v>
      </c>
    </row>
    <row r="93" spans="1:2" x14ac:dyDescent="0.25">
      <c r="A93"/>
    </row>
    <row r="94" spans="1:2" x14ac:dyDescent="0.25">
      <c r="A94"/>
    </row>
    <row r="95" spans="1:2" x14ac:dyDescent="0.25">
      <c r="A95"/>
    </row>
    <row r="96" spans="1:2"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Escala apreciacion</vt:lpstr>
      <vt:lpstr>Escala de notas</vt:lpstr>
    </vt:vector>
  </TitlesOfParts>
  <Company>Inacap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 González Chang</dc:creator>
  <cp:lastModifiedBy>Ruben Valencia Arancibia</cp:lastModifiedBy>
  <dcterms:created xsi:type="dcterms:W3CDTF">2020-05-08T17:56:56Z</dcterms:created>
  <dcterms:modified xsi:type="dcterms:W3CDTF">2025-09-29T19:05:59Z</dcterms:modified>
</cp:coreProperties>
</file>